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GITAL DESIGN\MIPS\OWN DESIGN\IS\"/>
    </mc:Choice>
  </mc:AlternateContent>
  <xr:revisionPtr revIDLastSave="0" documentId="13_ncr:1_{0EC2F5CF-B949-4845-9A9D-C231BBF55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B3" i="1"/>
  <c r="B4" i="1"/>
  <c r="B5" i="1"/>
  <c r="B6" i="1"/>
  <c r="B7" i="1"/>
  <c r="B8" i="1"/>
  <c r="B11" i="1"/>
  <c r="J11" i="1"/>
  <c r="B12" i="1"/>
  <c r="J12" i="1"/>
  <c r="B13" i="1"/>
  <c r="J13" i="1"/>
  <c r="B2" i="1"/>
</calcChain>
</file>

<file path=xl/sharedStrings.xml><?xml version="1.0" encoding="utf-8"?>
<sst xmlns="http://schemas.openxmlformats.org/spreadsheetml/2006/main" count="38" uniqueCount="27">
  <si>
    <t>instruction</t>
  </si>
  <si>
    <t xml:space="preserve">opcode </t>
  </si>
  <si>
    <t>function</t>
  </si>
  <si>
    <t>RegWrite</t>
  </si>
  <si>
    <t>RegDst</t>
  </si>
  <si>
    <t>ALUsrc</t>
  </si>
  <si>
    <t>Branch</t>
  </si>
  <si>
    <t>Mem Write</t>
  </si>
  <si>
    <t>AluOp4</t>
  </si>
  <si>
    <t>Jump</t>
  </si>
  <si>
    <t>MemtoReg</t>
  </si>
  <si>
    <t>lw</t>
  </si>
  <si>
    <t>sw</t>
  </si>
  <si>
    <t>x</t>
  </si>
  <si>
    <t>,0,0,0,0</t>
  </si>
  <si>
    <t>0,0,0,0</t>
  </si>
  <si>
    <t>beq</t>
  </si>
  <si>
    <t>addi</t>
  </si>
  <si>
    <t>j</t>
  </si>
  <si>
    <t>Rtype_add</t>
  </si>
  <si>
    <t>Rtype_sub</t>
  </si>
  <si>
    <t>1x=look at funct</t>
  </si>
  <si>
    <t>Rtype_and</t>
  </si>
  <si>
    <t>Rtype_or</t>
  </si>
  <si>
    <t>Rtype_xor</t>
  </si>
  <si>
    <t>Rtype_nor</t>
  </si>
  <si>
    <t>Rtype_SLT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</si>
</sst>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A5052-A6CA-49CA-9EDB-5028E7E72D22}" name="Table1" displayName="Table1" ref="A1:K308" totalsRowShown="0">
  <autoFilter ref="A1:K308" xr:uid="{BEEA5052-A6CA-49CA-9EDB-5028E7E72D22}"/>
  <tableColumns count="11">
    <tableColumn id="1" xr3:uid="{AD711B68-DD40-40A6-8DDD-4870F9F9C16C}" name="instruction"/>
    <tableColumn id="2" xr3:uid="{71E18959-DB37-4B63-9FB3-7C030E82FDF9}" name="opcode "/>
    <tableColumn id="3" xr3:uid="{C82E4D68-A861-45B1-BE25-E3F5E065C95B}" name="function"/>
    <tableColumn id="4" xr3:uid="{92C32405-8BBC-4DB3-8F00-CA75AD6D3BE6}" name="RegWrite"/>
    <tableColumn id="5" xr3:uid="{A5DA4D10-C71C-42BD-8BBB-FF954F41A832}" name="RegDst"/>
    <tableColumn id="6" xr3:uid="{6B1D0DEC-A3FB-4F1E-826A-0F1F3F398EA8}" name="ALUsrc"/>
    <tableColumn id="7" xr3:uid="{74C62688-6822-4302-B61F-52B2A3401E9B}" name="Branch"/>
    <tableColumn id="8" xr3:uid="{782D1858-8C2D-425D-A4BD-17BA92E03F21}" name="Mem Write"/>
    <tableColumn id="9" xr3:uid="{08CE39B8-5F57-4679-B779-3AA8135C771F}" name="MemtoReg"/>
    <tableColumn id="10" xr3:uid="{88E50D42-AD62-44DA-B947-BDA17C16C1BA}" name="AluOp4" dataDxfId="0"/>
    <tableColumn id="11" xr3:uid="{FBD93986-30C0-4BE1-BB6C-B28098AB653A}" name="Ju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E16" sqref="E16"/>
    </sheetView>
  </sheetViews>
  <sheetFormatPr defaultRowHeight="14.4" x14ac:dyDescent="0.3"/>
  <cols>
    <col min="1" max="8" width="10.44140625" customWidth="1"/>
    <col min="9" max="9" width="14.109375" customWidth="1"/>
    <col min="10" max="10" width="23.109375" style="1" customWidth="1"/>
    <col min="11" max="11" width="11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s="1" t="s">
        <v>8</v>
      </c>
      <c r="K1" t="s">
        <v>9</v>
      </c>
    </row>
    <row r="2" spans="1:11" x14ac:dyDescent="0.3">
      <c r="A2" t="s">
        <v>19</v>
      </c>
      <c r="B2" t="str">
        <f>"000000"</f>
        <v>000000</v>
      </c>
      <c r="C2">
        <v>100000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 s="1" t="str">
        <f>"00"</f>
        <v>00</v>
      </c>
      <c r="K2">
        <v>0</v>
      </c>
    </row>
    <row r="3" spans="1:11" x14ac:dyDescent="0.3">
      <c r="A3" t="s">
        <v>20</v>
      </c>
      <c r="B3" t="str">
        <f t="shared" ref="B3:B8" si="0">"000000"</f>
        <v>000000</v>
      </c>
      <c r="C3">
        <v>100010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 s="1" t="str">
        <f>"x1"</f>
        <v>x1</v>
      </c>
      <c r="K3">
        <v>0</v>
      </c>
    </row>
    <row r="4" spans="1:11" x14ac:dyDescent="0.3">
      <c r="A4" t="s">
        <v>22</v>
      </c>
      <c r="B4" t="str">
        <f t="shared" si="0"/>
        <v>000000</v>
      </c>
      <c r="C4">
        <v>100100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s="1" t="s">
        <v>21</v>
      </c>
      <c r="K4">
        <v>0</v>
      </c>
    </row>
    <row r="5" spans="1:11" x14ac:dyDescent="0.3">
      <c r="A5" t="s">
        <v>23</v>
      </c>
      <c r="B5" t="str">
        <f t="shared" si="0"/>
        <v>000000</v>
      </c>
      <c r="C5">
        <v>100101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 s="1" t="s">
        <v>21</v>
      </c>
      <c r="K5">
        <v>0</v>
      </c>
    </row>
    <row r="6" spans="1:11" x14ac:dyDescent="0.3">
      <c r="A6" t="s">
        <v>24</v>
      </c>
      <c r="B6" t="str">
        <f t="shared" si="0"/>
        <v>000000</v>
      </c>
      <c r="C6">
        <v>100110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 s="1" t="s">
        <v>21</v>
      </c>
      <c r="K6">
        <v>0</v>
      </c>
    </row>
    <row r="7" spans="1:11" x14ac:dyDescent="0.3">
      <c r="A7" t="s">
        <v>25</v>
      </c>
      <c r="B7" t="str">
        <f t="shared" si="0"/>
        <v>000000</v>
      </c>
      <c r="C7">
        <v>100111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 s="1" t="s">
        <v>21</v>
      </c>
      <c r="K7">
        <v>0</v>
      </c>
    </row>
    <row r="8" spans="1:11" x14ac:dyDescent="0.3">
      <c r="A8" t="s">
        <v>26</v>
      </c>
      <c r="B8" t="str">
        <f t="shared" si="0"/>
        <v>000000</v>
      </c>
      <c r="C8">
        <v>101010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 s="1" t="s">
        <v>21</v>
      </c>
      <c r="K8">
        <v>0</v>
      </c>
    </row>
    <row r="9" spans="1:11" x14ac:dyDescent="0.3">
      <c r="A9" t="s">
        <v>11</v>
      </c>
      <c r="B9">
        <v>100011</v>
      </c>
      <c r="D9">
        <v>1</v>
      </c>
      <c r="E9">
        <v>0</v>
      </c>
      <c r="F9">
        <v>1</v>
      </c>
      <c r="G9">
        <v>0</v>
      </c>
      <c r="H9">
        <v>0</v>
      </c>
      <c r="I9">
        <v>1</v>
      </c>
      <c r="J9" s="1" t="s">
        <v>14</v>
      </c>
      <c r="K9">
        <v>0</v>
      </c>
    </row>
    <row r="10" spans="1:11" x14ac:dyDescent="0.3">
      <c r="A10" t="s">
        <v>12</v>
      </c>
      <c r="B10">
        <v>101011</v>
      </c>
      <c r="D10">
        <v>0</v>
      </c>
      <c r="E10" t="s">
        <v>13</v>
      </c>
      <c r="F10">
        <v>1</v>
      </c>
      <c r="G10">
        <v>0</v>
      </c>
      <c r="H10">
        <v>1</v>
      </c>
      <c r="I10" t="s">
        <v>13</v>
      </c>
      <c r="J10" s="1" t="s">
        <v>15</v>
      </c>
      <c r="K10">
        <v>0</v>
      </c>
    </row>
    <row r="11" spans="1:11" x14ac:dyDescent="0.3">
      <c r="A11" t="s">
        <v>16</v>
      </c>
      <c r="B11" t="str">
        <f>"000"&amp;100</f>
        <v>000100</v>
      </c>
      <c r="D11">
        <v>0</v>
      </c>
      <c r="E11" t="s">
        <v>13</v>
      </c>
      <c r="F11">
        <v>0</v>
      </c>
      <c r="G11">
        <v>1</v>
      </c>
      <c r="H11">
        <v>0</v>
      </c>
      <c r="I11" t="s">
        <v>13</v>
      </c>
      <c r="J11" s="1" t="str">
        <f>"01"</f>
        <v>01</v>
      </c>
      <c r="K11">
        <v>0</v>
      </c>
    </row>
    <row r="12" spans="1:11" x14ac:dyDescent="0.3">
      <c r="A12" t="s">
        <v>17</v>
      </c>
      <c r="B12" t="str">
        <f>"00"&amp;1000</f>
        <v>001000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 s="1" t="str">
        <f>"00"</f>
        <v>00</v>
      </c>
      <c r="K12">
        <v>0</v>
      </c>
    </row>
    <row r="13" spans="1:11" x14ac:dyDescent="0.3">
      <c r="A13" t="s">
        <v>18</v>
      </c>
      <c r="B13" t="str">
        <f>"000"&amp;10</f>
        <v>00010</v>
      </c>
      <c r="D13">
        <v>0</v>
      </c>
      <c r="E13" t="s">
        <v>13</v>
      </c>
      <c r="F13" t="s">
        <v>13</v>
      </c>
      <c r="G13" t="s">
        <v>13</v>
      </c>
      <c r="H13">
        <v>0</v>
      </c>
      <c r="I13" t="s">
        <v>13</v>
      </c>
      <c r="J13" s="1" t="str">
        <f>"xx"</f>
        <v>xx</v>
      </c>
      <c r="K13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Khalaf</dc:creator>
  <cp:lastModifiedBy>Ahmed Khalaf</cp:lastModifiedBy>
  <dcterms:created xsi:type="dcterms:W3CDTF">2015-06-05T18:17:20Z</dcterms:created>
  <dcterms:modified xsi:type="dcterms:W3CDTF">2025-07-01T01:01:59Z</dcterms:modified>
</cp:coreProperties>
</file>